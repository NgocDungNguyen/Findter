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ease Notes" sheetId="1" r:id="rId4"/>
    <sheet state="visible" name="Coming Next" sheetId="2" r:id="rId5"/>
  </sheets>
  <definedNames>
    <definedName hidden="1" localSheetId="0" name="_xlnm._FilterDatabase">'Release Notes'!$A$3:$L$33</definedName>
    <definedName hidden="1" localSheetId="1" name="_xlnm._FilterDatabase">'Coming Next'!$A$3:$D$15</definedName>
  </definedNames>
  <calcPr/>
  <extLst>
    <ext uri="GoogleSheetsCustomDataVersion2">
      <go:sheetsCustomData xmlns:go="http://customooxmlschemas.google.com/" r:id="rId6" roundtripDataChecksum="8h2KQGeczlkcv4ABhi0qY6iIGV5kyC3F1bB/2Ev3wKY="/>
    </ext>
  </extLst>
</workbook>
</file>

<file path=xl/sharedStrings.xml><?xml version="1.0" encoding="utf-8"?>
<sst xmlns="http://schemas.openxmlformats.org/spreadsheetml/2006/main" count="154" uniqueCount="118">
  <si>
    <t>Findter - Release Notes</t>
  </si>
  <si>
    <t>Findter - Coming Next</t>
  </si>
  <si>
    <t>Cập nhật 13/10/2026  ·  Chưa release</t>
  </si>
  <si>
    <t>Tính năng (Feature)</t>
  </si>
  <si>
    <t>Cập nhật 13/10/2026  ·  Mới nhất ở trên cùng  ·  Đã release lên Production</t>
  </si>
  <si>
    <t>Sẽ làm được gì</t>
  </si>
  <si>
    <t>Trạng thái</t>
  </si>
  <si>
    <t>Ticket</t>
  </si>
  <si>
    <t>Ngày release</t>
  </si>
  <si>
    <t>Sort By options</t>
  </si>
  <si>
    <t>Loại</t>
  </si>
  <si>
    <t>Description</t>
  </si>
  <si>
    <t>Chọn các kiểu sort khách được thấy, đổi tên, và đặt sort mặc định (default sort) cho trang collection và trang search.</t>
  </si>
  <si>
    <t>Before</t>
  </si>
  <si>
    <t>After</t>
  </si>
  <si>
    <t>Note chung</t>
  </si>
  <si>
    <t>Lưu ý cho CSE</t>
  </si>
  <si>
    <t>BA review (sửa nốt lỗi cuối)</t>
  </si>
  <si>
    <t>Doc liên quan</t>
  </si>
  <si>
    <t>New feature</t>
  </si>
  <si>
    <t>Synonyms Search</t>
  </si>
  <si>
    <t>Tạo các nhóm từ đồng nghĩa (VD: "iPhone" = phone, ip, i-phone, iphnoe). Khách gõ từ khác hoặc gõ sai chính tả vẫn ra đúng sản phẩm.</t>
  </si>
  <si>
    <t>Auto translation</t>
  </si>
  <si>
    <t>Dịch filter option, value và tên sản phẩm; chạy được cùng Translate &amp; Adapt.</t>
  </si>
  <si>
    <t>Đang test</t>
  </si>
  <si>
    <t>Filter design (phase 2)</t>
  </si>
  <si>
    <t>Chỉnh style cho toolbar, filter option label, filter value và filter button.</t>
  </si>
  <si>
    <t>Review code</t>
  </si>
  <si>
    <t>Bug fix</t>
  </si>
  <si>
    <t>Search Booster</t>
  </si>
  <si>
    <t>Sản phẩm được boost giờ hiển thị đúng thứ tự merchant đã sắp xếp, không còn bị xếp theo độ liên quan (relevance).</t>
  </si>
  <si>
    <t>Metafield (chỉnh weight) trong Search settings</t>
  </si>
  <si>
    <t>Search by Metafield</t>
  </si>
  <si>
    <t>Ở trang Metafield, mỗi metafield chọn được áp dụng cho Filter, Search hoặc cả hai. Metafield mới thêm mặc định là Filter.</t>
  </si>
  <si>
    <t>Thêm dòng Metafield trong Search settings, có search type và weight riêng.</t>
  </si>
  <si>
    <t>Sẽ tạo task mới</t>
  </si>
  <si>
    <t>Search chỉ dùng được với metafield kiểu Text / Multi-line text. Chờ index xong rồi mới test.</t>
  </si>
  <si>
    <t>Merchandising (Boost / Demote / Hide)</t>
  </si>
  <si>
    <t>Một chỗ để đẩy lên, đẩy xuống hoặc ẩn sản phẩm ở trang collection và trang search, có hẹn giờ (schedule) và chọn market.</t>
  </si>
  <si>
    <t>Đang phát triển</t>
  </si>
  <si>
    <t>Improvement</t>
  </si>
  <si>
    <t>Bảng trong admin (Tables)</t>
  </si>
  <si>
    <t>Tên dài được rút gọn bằng "…". Khi di chuột (desktop) hoặc chạm (mobile) để xem tên đầy đủ. Áp dụng cho mọi bảng trong app.</t>
  </si>
  <si>
    <t>Kiểm tra theme tương thích (Theme compatibility)</t>
  </si>
  <si>
    <t>Màn chào mừng sau khi cài app: 14 ngày dùng thử (free trial) và các tính năng chính.</t>
  </si>
  <si>
    <t>Partial Search (Advanced Search)</t>
  </si>
  <si>
    <t>Với từng field search, chọn cách khớp từ (Whole words / Word beginnings / Any part of a word) và chỉnh weight. VD: gõ "nglass" vẫn ra "Sunglasses".</t>
  </si>
  <si>
    <t>Chỉ mở khi khách yêu cầu: bật Advanced Search cho store trong Master, sau đó khách tự chỉnh trong Search settings.</t>
  </si>
  <si>
    <t>Welcome modal</t>
  </si>
  <si>
    <t>BA đang check lại requirement</t>
  </si>
  <si>
    <t>Filter options</t>
  </si>
  <si>
    <t>Modal Edit filter option giờ bắt buộc chọn Save hoặc Discard trước khi rời đi</t>
  </si>
  <si>
    <t>Highlight features</t>
  </si>
  <si>
    <t>Khu vực giới thiệu tính năng nổi bật ở Homepage và trong lúc index lần đầu.</t>
  </si>
  <si>
    <t>Đã giao dev</t>
  </si>
  <si>
    <t>Sale filter</t>
  </si>
  <si>
    <t>Source filter mới: khách filter được các sản phẩm đang giảm giá (Sale).</t>
  </si>
  <si>
    <t>Bật theo từng store (Master &gt; Features).</t>
  </si>
  <si>
    <t>#852</t>
  </si>
  <si>
    <t>Banner sắp hết trial</t>
  </si>
  <si>
    <t>Banner + tin nhắn Crisp trước khi hết trial 7, 3 và 1 ngày.</t>
  </si>
  <si>
    <t>BA review</t>
  </si>
  <si>
    <t>Banner xin review / feedback</t>
  </si>
  <si>
    <t>Xin review từ khách hài lòng, chuyển phàn nàn về cho CSE xử lý.</t>
  </si>
  <si>
    <t>Pre-order</t>
  </si>
  <si>
    <t>Sản phẩm Pre-order hiển thị đúng tình trạng còn hàng (availability) và boost được trong Search.</t>
  </si>
  <si>
    <t>True/False + Variant metafield</t>
  </si>
  <si>
    <t>Hỗ trợ metafield kiểu True/False và metafield của variant.</t>
  </si>
  <si>
    <t>Color swatch trên product card</t>
  </si>
  <si>
    <t>Hiển thị màu của các variant ngay trên product card.</t>
  </si>
  <si>
    <t>Built for Shopify (BFS)</t>
  </si>
  <si>
    <t>Pending</t>
  </si>
  <si>
    <t>Sửa hơn 30 lỗi UI/UX theo review BFS (giao diện mobile, banner, nút, modal). Banner Recommended apps đã đóng thì không hiện lại.</t>
  </si>
  <si>
    <t>CSE tool</t>
  </si>
  <si>
    <t>Trang demo hiệu ứng (Effects demo)</t>
  </si>
  <si>
    <t>Trang trên demo store với 20 hiệu ứng load cho product card và hiệu ứng cho filter bar, mỗi hiệu ứng có sẵn code gửi khách.</t>
  </si>
  <si>
    <t>Gửi khách xem: findter-demo.myshopify.com/collections/product-cards-effects 
và 
/collections/filter-effects-customization</t>
  </si>
  <si>
    <t>Ngôn ngữ app (App languages)</t>
  </si>
  <si>
    <t>Admin của app đã được dịch sang mọi ngôn ngữ Shopify Admin hỗ trợ (ưu tiên Spanish, French, German, Portuguese; thêm Chinese ngày 22/09).</t>
  </si>
  <si>
    <t>Merged Group + Search in Filter</t>
  </si>
  <si>
    <t>Khi search trong filter có Merged Group: value khớp được đẩy lên đầu, các value khác ẩn đi, group đang thu gọn sẽ tự mở ra.</t>
  </si>
  <si>
    <t>Recommended apps</t>
  </si>
  <si>
    <t>Hiển thị app gợi ý ở Homepage và Advanced features, card gọn và dễ đọc hơn.</t>
  </si>
  <si>
    <t>Trang Advanced features</t>
  </si>
  <si>
    <t>Thiết kế lại để thấy rõ tính năng nào có ở plan Free, tính năng nào cần plan trả phí (Paid).</t>
  </si>
  <si>
    <t>Banner vượt giới hạn sản phẩm (Over-limit)</t>
  </si>
  <si>
    <t>Banner over-limit không còn hiện khi store chưa bật app embed, và tự ẩn sau khi upgrade plan.</t>
  </si>
  <si>
    <t>Product grid design (phase 2)</t>
  </si>
  <si>
    <t>Thêm setting cho nút Add to cart, Sold out badge, Low stock badge ("Only X left"). Vị trí badge (trên trái / trên phải) đã hiển thị đúng ngoài storefront.</t>
  </si>
  <si>
    <t>Option dạng Price và Checklist không còn mất các khoảng giá (range) đã lưu sau khi bấm "Add range" + Save.</t>
  </si>
  <si>
    <t>Bấm Cancel giờ bỏ hết thay đổi chưa lưu. Value đã xoá khỏi group có thể chọn lại.</t>
  </si>
  <si>
    <t>Merged Group</t>
  </si>
  <si>
    <t>Thêm nút Include all / Exclude all. Value được đưa vào group sẽ tự bật (ON), nên group hiển thị đúng ngoài storefront.</t>
  </si>
  <si>
    <t>Year Make Model (YMM)</t>
  </si>
  <si>
    <t>Value mới thêm vào sản phẩm giờ đã hiện trong danh sách value của option YMM.</t>
  </si>
  <si>
    <t>Market currency</t>
  </si>
  <si>
    <t>Giá trong Search suggestion hiển thị theo đơn vị tiền của market mà khách đang xem.</t>
  </si>
  <si>
    <t>Chỉ áp dụng cho store đã bật Market currency.</t>
  </si>
  <si>
    <t>-</t>
  </si>
  <si>
    <t>Plan hiện tại trên Homepage</t>
  </si>
  <si>
    <t>Ô App status hiển thị plan hiện tại (tên plan, Trial hoặc Free). Store cũ được thấy banner thông báo thay đổi plan (banner giảm giá đã kết thúc ngày 10/08).</t>
  </si>
  <si>
    <t>Block YMM không còn hiện để thêm vào trang collection trong theme editor.</t>
  </si>
  <si>
    <t>Product grid design (phase 1)</t>
  </si>
  <si>
    <t>Tab Custom design mới cho product grid: số sản phẩm mỗi trang, số sản phẩm mỗi hàng, pagination, thứ tự hiển thị (element order), ảnh, tên, vendor, giá, Sale badge, có Live preview.</t>
  </si>
  <si>
    <t>Filter design (phase 1)</t>
  </si>
  <si>
    <t>Chọn layout filter (vertical / horizontal / off-canvas) và chỉnh Filter bar, có Live preview.</t>
  </si>
  <si>
    <t>Onboarding trên Homepage</t>
  </si>
  <si>
    <t>Thêm bước bật Search suggestion. Hiển thị App embed và Search suggestion đang Active hay chưa. Onboarding tự thu gọn khi đã xong 2 bước chính.</t>
  </si>
  <si>
    <t>Khách chọn Year &gt; Make &gt; Model ở homepage để chỉ xem các sản phẩm phù hợp.</t>
  </si>
  <si>
    <t>Unlock YMM cho store trong Master, sau đó menu YMM mới hiện trong app.</t>
  </si>
  <si>
    <t>Search in Filter</t>
  </si>
  <si>
    <t>Khách search được value ngay bên trong một filter option.</t>
  </si>
  <si>
    <t>Collection Search</t>
  </si>
  <si>
    <t>Khách search được trong chính collection đang xem.</t>
  </si>
  <si>
    <t>#397</t>
  </si>
  <si>
    <t>Merged Group Filter</t>
  </si>
  <si>
    <t>Gộp nhiều value thành một nhóm (VD: Navy + Sky = Blue).</t>
  </si>
  <si>
    <t>#253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</si>
</sst>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b/>
      <sz val="16.0"/>
      <color rgb="FF303030"/>
      <name val="Calibri"/>
    </font>
    <font>
      <sz val="10.0"/>
      <color rgb="FF6B6B6B"/>
      <name val="Calibri"/>
    </font>
    <font>
      <color theme="1"/>
      <name val="Arial"/>
      <scheme val="minor"/>
    </font>
    <font>
      <b/>
      <sz val="11.0"/>
      <color rgb="FFFFFFFF"/>
      <name val="Calibri"/>
    </font>
    <font>
      <b/>
      <sz val="11.0"/>
      <color rgb="FF303030"/>
      <name val="Calibri"/>
    </font>
    <font>
      <sz val="11.0"/>
      <color rgb="FF303030"/>
      <name val="Calibri"/>
    </font>
    <font>
      <u/>
      <sz val="11.0"/>
      <color rgb="FF005BD3"/>
      <name val="Calibri"/>
    </font>
    <font>
      <sz val="11.0"/>
      <color rgb="FF005BD3"/>
      <name val="Calibri"/>
    </font>
    <font>
      <u/>
      <sz val="11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03030"/>
        <bgColor rgb="FF303030"/>
      </patternFill>
    </fill>
    <fill>
      <patternFill patternType="solid">
        <fgColor rgb="FFFFF3CC"/>
        <bgColor rgb="FFFFF3CC"/>
      </patternFill>
    </fill>
    <fill>
      <patternFill patternType="solid">
        <fgColor rgb="FFDCF2E0"/>
        <bgColor rgb="FFDCF2E0"/>
      </patternFill>
    </fill>
    <fill>
      <patternFill patternType="solid">
        <fgColor rgb="FFFDE3E1"/>
        <bgColor rgb="FFFDE3E1"/>
      </patternFill>
    </fill>
    <fill>
      <patternFill patternType="solid">
        <fgColor rgb="FFDCEBFF"/>
        <bgColor rgb="FFDCEBFF"/>
      </patternFill>
    </fill>
    <fill>
      <patternFill patternType="solid">
        <fgColor rgb="FFEDE7FB"/>
        <bgColor rgb="FFEDE7FB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4" numFmtId="0" xfId="0" applyAlignment="1" applyBorder="1" applyFill="1" applyFont="1">
      <alignment shrinkToFit="0" vertical="center" wrapText="1"/>
    </xf>
    <xf borderId="1" fillId="2" fontId="4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2" fontId="4" numFmtId="0" xfId="0" applyAlignment="1" applyBorder="1" applyFill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3" fontId="6" numFmtId="0" xfId="0" applyAlignment="1" applyBorder="1" applyFill="1" applyFont="1">
      <alignment shrinkToFit="0" vertical="top" wrapText="1"/>
    </xf>
    <xf borderId="1" fillId="0" fontId="6" numFmtId="164" xfId="0" applyAlignment="1" applyBorder="1" applyFont="1" applyNumberFormat="1">
      <alignment horizontal="left"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6" fontId="5" numFmtId="0" xfId="0" applyAlignment="1" applyBorder="1" applyFill="1" applyFont="1">
      <alignment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6" numFmtId="164" xfId="0" applyAlignment="1" applyBorder="1" applyFont="1" applyNumberFormat="1">
      <alignment horizontal="left" readingOrder="0"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1" fillId="7" fontId="5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horizontal="center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showGridLines="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customHeight="1" defaultColWidth="12.63" defaultRowHeight="15.0"/>
  <cols>
    <col customWidth="1" min="1" max="1" width="17"/>
    <col customWidth="1" min="2" max="2" width="12.5"/>
    <col customWidth="1" min="3" max="3" width="12.25"/>
    <col customWidth="1" min="4" max="4" width="28"/>
    <col customWidth="1" min="5" max="5" width="24"/>
    <col customWidth="1" min="6" max="6" width="58"/>
    <col customWidth="1" min="7" max="7" width="30"/>
    <col customWidth="1" min="8" max="8" width="30"/>
    <col customWidth="1" min="9" max="9" width="28"/>
    <col customWidth="1" min="10" max="10" width="40"/>
    <col customWidth="1" min="11" max="11" width="12.25"/>
    <col customWidth="1" min="12" max="12" width="52"/>
  </cols>
  <sheetData>
    <row r="1" ht="27.75" customHeight="1">
      <c r="A1" s="1" t="inlineStr">
        <is>
          <t xml:space="preserve">Findter - Release Notes</t>
        </is>
      </c>
    </row>
    <row r="2" ht="18" customHeight="1">
      <c r="A2" s="5" t="inlineStr">
        <is>
          <t xml:space="preserve">Cập nhật 13/10/2026  ·  Mới nhất ở trên cùng  ·  Đã release lên Production</t>
        </is>
      </c>
    </row>
    <row r="3" ht="33.75" customHeight="1">
      <c r="A3" s="7" t="inlineStr">
        <is>
          <t xml:space="preserve">Version</t>
        </is>
      </c>
      <c r="B3" s="7" t="inlineStr">
        <is>
          <t xml:space="preserve">Ngày release</t>
        </is>
      </c>
      <c r="C3" s="7" t="inlineStr">
        <is>
          <t xml:space="preserve">Loại</t>
        </is>
      </c>
      <c r="D3" s="7" t="inlineStr">
        <is>
          <t xml:space="preserve">Name</t>
        </is>
      </c>
      <c r="E3" s="7" t="inlineStr">
        <is>
          <t xml:space="preserve">Feature liên quan</t>
        </is>
      </c>
      <c r="F3" s="7" t="inlineStr">
        <is>
          <t xml:space="preserve">Description</t>
        </is>
      </c>
      <c r="G3" s="7" t="inlineStr">
        <is>
          <t xml:space="preserve">Before</t>
        </is>
      </c>
      <c r="H3" s="7" t="inlineStr">
        <is>
          <t xml:space="preserve">After</t>
        </is>
      </c>
      <c r="I3" s="7" t="inlineStr">
        <is>
          <t xml:space="preserve">Note chung</t>
        </is>
      </c>
      <c r="J3" s="7" t="inlineStr">
        <is>
          <t xml:space="preserve">Lưu ý cho CSE</t>
        </is>
      </c>
      <c r="K3" s="7" t="inlineStr">
        <is>
          <t xml:space="preserve">Ticket</t>
        </is>
      </c>
      <c r="L3" s="7" t="inlineStr">
        <is>
          <t xml:space="preserve">Doc liên quan</t>
        </is>
      </c>
    </row>
    <row r="4" ht="96" customHeight="1">
      <c r="A4" s="23" t="inlineStr">
        <is>
          <t xml:space="preserve">findter-snf-704</t>
        </is>
      </c>
      <c r="B4" s="12">
        <v>46308</v>
      </c>
      <c r="C4" s="13" t="inlineStr">
        <is>
          <t xml:space="preserve">New feature</t>
        </is>
      </c>
      <c r="D4" s="8" t="inlineStr">
        <is>
          <t xml:space="preserve">Synonyms Search</t>
        </is>
      </c>
      <c r="E4" s="10"/>
      <c r="F4" s="10" t="inlineStr">
        <is>
          <t xml:space="preserve">Tạo các nhóm từ đồng nghĩa (VD: "iPhone" = phone, ip, i-phone, iphnoe). Khách gõ từ khác hoặc gõ sai chính tả vẫn ra đúng sản phẩm.</t>
        </is>
      </c>
      <c r="G4" s="10" t="inlineStr">
        <is>
          <t xml:space="preserve">Khách gõ từ đồng nghĩa hoặc gõ sai thì không ra sản phẩm.</t>
        </is>
      </c>
      <c r="H4" s="10" t="inlineStr">
        <is>
          <t xml:space="preserve">Gõ từ nào trong nhóm cũng ra cùng kết quả.</t>
        </is>
      </c>
      <c r="I4" s="10" t="inlineStr">
        <is>
          <t xml:space="preserve">Merchant tự tạo nhóm từ, nhấn Save để app reindex.</t>
        </is>
      </c>
      <c r="J4" s="10"/>
      <c r="K4" s="14" t="str">
        <f>HYPERLINK("https://pms.bssgroup.vn/default/viewtaskdetail/rds_shopify-421","#421")</f>
        <v>#421</v>
      </c>
      <c r="L4" s="10" t="inlineStr">
        <is>
          <t xml:space="preserve">CSE Guide: Synonyms · Sale Filter · Push Down Out-of-Stock: https://docs.google.com/document/d/1jnEEy2tDq1eGgOco106mIoZ4ERRJOd0j6WAWIzhLvTg
Public User Guide: 
RQM: https://docs.google.com/spreadsheets/d/1d7v-tcmuthYCzpcuN9RbpLtnlM0tcQkb6Z3uYskNdSI</t>
        </is>
      </c>
    </row>
    <row r="5" ht="66" customHeight="1">
      <c r="A5" s="23" t="inlineStr">
        <is>
          <t xml:space="preserve">findter-snf-704</t>
        </is>
      </c>
      <c r="B5" s="12">
        <v>46308</v>
      </c>
      <c r="C5" s="16" t="inlineStr">
        <is>
          <t xml:space="preserve">Bug fix</t>
        </is>
      </c>
      <c r="D5" s="8" t="inlineStr">
        <is>
          <t xml:space="preserve">Fix bug khi dùng chung Synonyms Search và Search Booster</t>
        </is>
      </c>
      <c r="E5" s="10" t="inlineStr">
        <is>
          <t xml:space="preserve">Synonyms Search, Search Booster</t>
        </is>
      </c>
      <c r="F5" s="10" t="inlineStr">
        <is>
          <t xml:space="preserve">Sản phẩm được boost giờ hiển thị đúng thứ tự merchant đã sắp xếp, không còn bị xếp theo độ liên quan (relevance).</t>
        </is>
      </c>
      <c r="G5" s="10" t="inlineStr">
        <is>
          <t xml:space="preserve">Sản phẩm boost bị xếp theo relevance.</t>
        </is>
      </c>
      <c r="H5" s="10" t="inlineStr">
        <is>
          <t xml:space="preserve">Đúng thứ tự merchant đã set.</t>
        </is>
      </c>
      <c r="I5" s="10"/>
      <c r="J5" s="10"/>
      <c r="K5" s="14" t="str">
        <f>HYPERLINK("https://pms.bssgroup.vn/default/viewtaskdetail/rds_shopify-421","#421")</f>
        <v>#421</v>
      </c>
      <c r="L5" s="10" t="inlineStr">
        <is>
          <t xml:space="preserve">CSE Guide: 
Public User Guide: 
RQM: https://docs.google.com/spreadsheets/d/1d7v-tcmuthYCzpcuN9RbpLtnlM0tcQkb6Z3uYskNdSI</t>
        </is>
      </c>
    </row>
    <row r="6" ht="111" customHeight="1">
      <c r="A6" s="23" t="inlineStr">
        <is>
          <t xml:space="preserve">findter-snf-702 → 703</t>
        </is>
      </c>
      <c r="B6" s="12">
        <v>46303</v>
      </c>
      <c r="C6" s="13" t="inlineStr">
        <is>
          <t xml:space="preserve">New feature</t>
        </is>
      </c>
      <c r="D6" s="8" t="inlineStr">
        <is>
          <t xml:space="preserve">Search by Metafield</t>
        </is>
      </c>
      <c r="E6" s="10"/>
      <c r="F6" s="10" t="inlineStr">
        <is>
          <t xml:space="preserve">Ở trang Metafield, mỗi metafield chọn được áp dụng cho Filter, Search hoặc cả hai. Metafield mới thêm mặc định là Filter.</t>
        </is>
      </c>
      <c r="G6" s="10" t="inlineStr">
        <is>
          <t xml:space="preserve">Metafield chỉ dùng để Filter.</t>
        </is>
      </c>
      <c r="H6" s="10" t="inlineStr">
        <is>
          <t xml:space="preserve">Chọn được Filter, Search hoặc cả hai.</t>
        </is>
      </c>
      <c r="I6" s="10"/>
      <c r="J6" s="10" t="inlineStr">
        <is>
          <t xml:space="preserve">Search chỉ dùng được với metafield kiểu Text / Multi-line text. Chờ index xong rồi mới test.</t>
        </is>
      </c>
      <c r="K6" s="14" t="str">
        <f>HYPERLINK("https://pms.bssgroup.vn/default/viewtaskdetail/rds_shopify-682","#682")</f>
        <v>#682</v>
      </c>
      <c r="L6" s="10" t="inlineStr">
        <is>
          <t xml:space="preserve">CSE Guide: Search by Metafield
Public User Guide: https://flintverse.gitbook.io/docs/findter-custom-filter-search/user-guide/create-and-set-up-filters/filter-by-product-metafields
RQM: https://docs.google.com/spreadsheets/d/19F3VlyFxU_qKWbpVtNNAlMKF19owxIsF2xFEpEVkFI8</t>
        </is>
      </c>
    </row>
    <row r="7" ht="66" customHeight="1">
      <c r="A7" s="23" t="inlineStr">
        <is>
          <t xml:space="preserve">findter-snf-697</t>
        </is>
      </c>
      <c r="B7" s="12">
        <v>46300</v>
      </c>
      <c r="C7" s="18" t="inlineStr">
        <is>
          <t xml:space="preserve">Improvement</t>
        </is>
      </c>
      <c r="D7" s="8" t="inlineStr">
        <is>
          <t xml:space="preserve">Bảng trong admin (Tables)</t>
        </is>
      </c>
      <c r="E7" s="10" t="inlineStr">
        <is>
          <t xml:space="preserve">Admin UI (mọi bảng)</t>
        </is>
      </c>
      <c r="F7" s="10" t="inlineStr">
        <is>
          <t xml:space="preserve">Tên dài được rút gọn bằng "…". Khi di chuột (desktop) hoặc chạm (mobile) để xem tên đầy đủ. Áp dụng cho mọi bảng trong app.</t>
        </is>
      </c>
      <c r="G7" s="10" t="inlineStr">
        <is>
          <t xml:space="preserve">Tên dài bị xuống nhiều dòng, làm vỡ bảng.</t>
        </is>
      </c>
      <c r="H7" s="10" t="inlineStr">
        <is>
          <t xml:space="preserve">Tên gọn trên 1 dòng, xem đủ khi hover / tap.</t>
        </is>
      </c>
      <c r="I7" s="10" t="inlineStr">
        <is>
          <t xml:space="preserve">Áp dụng cho mọi bảng.</t>
        </is>
      </c>
      <c r="J7" s="10"/>
      <c r="K7" s="14" t="str">
        <f>HYPERLINK("https://pms.bssgroup.vn/default/viewtaskdetail/rds_shopify-682","#682")</f>
        <v>#682</v>
      </c>
      <c r="L7" s="10" t="inlineStr">
        <is>
          <t xml:space="preserve">CSE Guide: 
Public User Guide: 
RQM: https://docs.google.com/spreadsheets/d/19F3VlyFxU_qKWbpVtNNAlMKF19owxIsF2xFEpEVkFI8</t>
        </is>
      </c>
    </row>
    <row r="8" ht="66" customHeight="1">
      <c r="A8" s="23" t="inlineStr">
        <is>
          <t xml:space="preserve">findter-snf-696</t>
        </is>
      </c>
      <c r="B8" s="12">
        <v>46296</v>
      </c>
      <c r="C8" s="16" t="inlineStr">
        <is>
          <t xml:space="preserve">Bug fix</t>
        </is>
      </c>
      <c r="D8" s="8" t="inlineStr">
        <is>
          <t xml:space="preserve">Filter options</t>
        </is>
      </c>
      <c r="E8" s="10" t="inlineStr">
        <is>
          <t xml:space="preserve">BFS, Filter options</t>
        </is>
      </c>
      <c r="F8" s="10" t="inlineStr">
        <is>
          <t xml:space="preserve">Modal Edit filter option giờ bắt buộc chọn Save hoặc Discard trước khi rời đi</t>
        </is>
      </c>
      <c r="G8" s="10" t="inlineStr">
        <is>
          <t xml:space="preserve">Thoát modal khi chưa Save thì mất thay đổi.</t>
        </is>
      </c>
      <c r="H8" s="10" t="inlineStr">
        <is>
          <t xml:space="preserve">Phải chọn Save hoặc Discard mới thoát được.</t>
        </is>
      </c>
      <c r="I8" s="10"/>
      <c r="J8" s="10"/>
      <c r="K8" s="14" t="str">
        <f>HYPERLINK("https://pms.bssgroup.vn/default/viewtaskdetail/rds_shopify-773","#773")</f>
        <v>#773</v>
      </c>
      <c r="L8" s="10" t="inlineStr">
        <is>
          <t xml:space="preserve">CSE Guide: 
Public User Guide: 
RQM: https://docs.google.com/spreadsheets/d/1c4gOulGNvWRSjxo8qgZigKQ0h31nrUfHzGAPhzVZEEg</t>
        </is>
      </c>
    </row>
    <row r="9" ht="81" customHeight="1">
      <c r="A9" s="23" t="inlineStr">
        <is>
          <t xml:space="preserve">findter-snf-693 → 695</t>
        </is>
      </c>
      <c r="B9" s="12">
        <v>46295</v>
      </c>
      <c r="C9" s="13" t="inlineStr">
        <is>
          <t xml:space="preserve">New feature</t>
        </is>
      </c>
      <c r="D9" s="8" t="inlineStr">
        <is>
          <t xml:space="preserve">Sale filter</t>
        </is>
      </c>
      <c r="E9" s="10"/>
      <c r="F9" s="10" t="inlineStr">
        <is>
          <t xml:space="preserve">Source filter mới: khách filter được các sản phẩm đang giảm giá (Sale).</t>
        </is>
      </c>
      <c r="G9" s="10" t="inlineStr">
        <is>
          <t xml:space="preserve">Không có source riêng cho sản phẩm Sale.</t>
        </is>
      </c>
      <c r="H9" s="10" t="inlineStr">
        <is>
          <t xml:space="preserve">Có option source Sale trong Filter.</t>
        </is>
      </c>
      <c r="I9" s="10" t="inlineStr">
        <is>
          <t xml:space="preserve">Chỉ store được unlock.</t>
        </is>
      </c>
      <c r="J9" s="10" t="inlineStr">
        <is>
          <t xml:space="preserve">Bật theo từng store (Master &gt; Features).</t>
        </is>
      </c>
      <c r="K9" s="14" t="str">
        <f>HYPERLINK("https://pms.bssgroup.vn/default/viewtaskdetail/rds_shopify-852","#852")</f>
        <v>#852</v>
      </c>
      <c r="L9" s="10" t="inlineStr">
        <is>
          <t xml:space="preserve">CSE Guide: Synonyms · Sale Filter · Push Down Out-of-Stock: https://docs.google.com/document/d/1jnEEy2tDq1eGgOco106mIoZ4ERRJOd0j6WAWIzhLvTg
Public User Guide: 
RQM: </t>
        </is>
      </c>
    </row>
    <row r="10" ht="51" customHeight="1">
      <c r="A10" s="23" t="inlineStr">
        <is>
          <t xml:space="preserve">findter-snf-693 → 695</t>
        </is>
      </c>
      <c r="B10" s="12">
        <v>46295</v>
      </c>
      <c r="C10" s="18" t="inlineStr">
        <is>
          <t xml:space="preserve">Improvement</t>
        </is>
      </c>
      <c r="D10" s="8" t="inlineStr">
        <is>
          <t xml:space="preserve">Pre-order</t>
        </is>
      </c>
      <c r="E10" s="10" t="inlineStr">
        <is>
          <t xml:space="preserve">Filter (Availability), Search Booster</t>
        </is>
      </c>
      <c r="F10" s="10" t="inlineStr">
        <is>
          <t xml:space="preserve">Sản phẩm Pre-order hiển thị đúng tình trạng còn hàng (availability) và boost được trong Search.</t>
        </is>
      </c>
      <c r="G10" s="10" t="inlineStr">
        <is>
          <t xml:space="preserve">Sản phẩm Pre-order bị tính là hết hàng.</t>
        </is>
      </c>
      <c r="H10" s="10" t="inlineStr">
        <is>
          <t xml:space="preserve">Pre-order có availability riêng, boost được.</t>
        </is>
      </c>
      <c r="I10" s="10" t="inlineStr">
        <is>
          <t xml:space="preserve">Chỉ store được unlock (pre_order_availability).</t>
        </is>
      </c>
      <c r="J10" s="10"/>
      <c r="K10" s="14" t="str">
        <f>HYPERLINK("https://pms.bssgroup.vn/default/viewtaskdetail/rds_shopify-761","#761")</f>
        <v>#761</v>
      </c>
      <c r="L10" s="10" t="inlineStr">
        <is>
          <t xml:space="preserve">CSE Guide: 
Public User Guide: 
RQM: </t>
        </is>
      </c>
    </row>
    <row r="11" ht="66" customHeight="1">
      <c r="A11" s="23" t="inlineStr">
        <is>
          <t xml:space="preserve">findter-snf-690 → 691</t>
        </is>
      </c>
      <c r="B11" s="12">
        <v>46290</v>
      </c>
      <c r="C11" s="18" t="inlineStr">
        <is>
          <t xml:space="preserve">Improvement</t>
        </is>
      </c>
      <c r="D11" s="8" t="inlineStr">
        <is>
          <t xml:space="preserve">Built for Shopify (BFS)</t>
        </is>
      </c>
      <c r="E11" s="10" t="inlineStr">
        <is>
          <t xml:space="preserve">BFS</t>
        </is>
      </c>
      <c r="F11" s="10" t="inlineStr">
        <is>
          <t xml:space="preserve">Sửa hơn 30 lỗi UI/UX theo review BFS (giao diện mobile, banner, nút, modal). Banner Recommended apps đã đóng thì không hiện lại.</t>
        </is>
      </c>
      <c r="G11" s="10" t="inlineStr">
        <is>
          <t xml:space="preserve">Nhiều lỗi UI/UX, nhất là trên mobile.</t>
        </is>
      </c>
      <c r="H11" s="10" t="inlineStr">
        <is>
          <t xml:space="preserve">Đạt các tiêu chí BFS đã review.</t>
        </is>
      </c>
      <c r="I11" s="10" t="inlineStr">
        <is>
          <t xml:space="preserve">Áp dụng cho mọi store.</t>
        </is>
      </c>
      <c r="J11" s="10"/>
      <c r="K11" s="14" t="str">
        <f>HYPERLINK("https://pms.bssgroup.vn/default/viewtaskdetail/rds_shopify-773","#773")</f>
        <v>#773</v>
      </c>
      <c r="L11" s="10" t="inlineStr">
        <is>
          <t xml:space="preserve">CSE Guide: 
Public User Guide: 
RQM: https://docs.google.com/spreadsheets/d/1c4gOulGNvWRSjxo8qgZigKQ0h31nrUfHzGAPhzVZEEg</t>
        </is>
      </c>
    </row>
    <row r="12" ht="96" customHeight="1">
      <c r="A12" s="23"/>
      <c r="B12" s="12"/>
      <c r="C12" s="22" t="inlineStr">
        <is>
          <t xml:space="preserve">CSE tool</t>
        </is>
      </c>
      <c r="D12" s="8" t="inlineStr">
        <is>
          <t xml:space="preserve">Trang demo hiệu ứng (Effects demo)</t>
        </is>
      </c>
      <c r="E12" s="10" t="inlineStr">
        <is>
          <t xml:space="preserve">Product card, Filter bar (demo store)</t>
        </is>
      </c>
      <c r="F12" s="10" t="inlineStr">
        <is>
          <t xml:space="preserve">Trang trên demo store với 20 hiệu ứng load cho product card và hiệu ứng cho filter bar, mỗi hiệu ứng có sẵn code gửi khách.</t>
        </is>
      </c>
      <c r="G12" s="10" t="inlineStr">
        <is>
          <t xml:space="preserve">CSE không có chỗ cho khách xem trước hiệu ứng.</t>
        </is>
      </c>
      <c r="H12" s="10" t="inlineStr">
        <is>
          <t xml:space="preserve">Khách xem demo, chọn hiệu ứng, CSE gửi code.</t>
        </is>
      </c>
      <c r="I12" s="10" t="inlineStr">
        <is>
          <t xml:space="preserve">Chỉ trên demo store, không nằm trong app.</t>
        </is>
      </c>
      <c r="J12" s="10" t="inlineStr">
        <is>
          <t xml:space="preserve">Gửi khách xem: findter-demo.myshopify.com/collections/product-cards-effects và /collections/filter-effects-customization</t>
        </is>
      </c>
      <c r="K12" s="14" t="str">
        <f>HYPERLINK("https://pms.bssgroup.vn/default/viewtaskdetail/rds_shopify-738","#738, #744")</f>
        <v>#738, #744</v>
      </c>
      <c r="L12" s="10" t="inlineStr">
        <is>
          <t xml:space="preserve">CSE Guide: Product card: https://docs.google.com/document/d/1v7G_Ss3jaV1Vnv5YxyRYXT1VuquKnc3Fb9uwFve0b7o ; Filter: https://docs.google.com/document/d/1nI4zGzdfG7aLyKc-nPAu-RXvJxicpKOgG8YyO9K-EV0
Public User Guide: 
RQM: </t>
        </is>
      </c>
    </row>
    <row r="13" ht="51" customHeight="1">
      <c r="A13" s="23" t="inlineStr">
        <is>
          <t xml:space="preserve">findter-snf-651 → 652</t>
        </is>
      </c>
      <c r="B13" s="12">
        <v>46268</v>
      </c>
      <c r="C13" s="18" t="inlineStr">
        <is>
          <t xml:space="preserve">Improvement</t>
        </is>
      </c>
      <c r="D13" s="8" t="inlineStr">
        <is>
          <t xml:space="preserve">Ngôn ngữ app (App languages)</t>
        </is>
      </c>
      <c r="E13" s="10" t="inlineStr">
        <is>
          <t xml:space="preserve">Admin UI</t>
        </is>
      </c>
      <c r="F13" s="10" t="inlineStr">
        <is>
          <t xml:space="preserve">Admin của app đã được dịch sang mọi ngôn ngữ Shopify Admin hỗ trợ (ưu tiên Spanish, French, German, Portuguese; thêm Chinese ngày 22/09).</t>
        </is>
      </c>
      <c r="G13" s="10" t="inlineStr">
        <is>
          <t xml:space="preserve">Admin chủ yếu tiếng Anh.</t>
        </is>
      </c>
      <c r="H13" s="10" t="inlineStr">
        <is>
          <t xml:space="preserve">Hiển thị theo ngôn ngữ admin của merchant.</t>
        </is>
      </c>
      <c r="I13" s="10" t="inlineStr">
        <is>
          <t xml:space="preserve">Áp dụng cho mọi store.</t>
        </is>
      </c>
      <c r="J13" s="10"/>
      <c r="K13" s="14" t="str">
        <f>HYPERLINK("https://pms.bssgroup.vn/default/viewtaskdetail/rds_shopify-596","#596")</f>
        <v>#596</v>
      </c>
      <c r="L13" s="10" t="inlineStr">
        <is>
          <t xml:space="preserve">CSE Guide: 
Public User Guide: 
RQM: </t>
        </is>
      </c>
    </row>
    <row r="14" ht="66" customHeight="1">
      <c r="A14" s="23" t="inlineStr">
        <is>
          <t xml:space="preserve">findter-snf-650</t>
        </is>
      </c>
      <c r="B14" s="12">
        <v>46260</v>
      </c>
      <c r="C14" s="18" t="inlineStr">
        <is>
          <t xml:space="preserve">Improvement</t>
        </is>
      </c>
      <c r="D14" s="8" t="inlineStr">
        <is>
          <t xml:space="preserve">Recommended apps</t>
        </is>
      </c>
      <c r="E14" s="10" t="inlineStr">
        <is>
          <t xml:space="preserve">Homepage, Advanced features</t>
        </is>
      </c>
      <c r="F14" s="10" t="inlineStr">
        <is>
          <t xml:space="preserve">Hiển thị app gợi ý ở Homepage và Advanced features, card gọn và dễ đọc hơn.</t>
        </is>
      </c>
      <c r="G14" s="10" t="inlineStr">
        <is>
          <t xml:space="preserve">3 card hẹp, chữ xuống nhiều dòng.</t>
        </is>
      </c>
      <c r="H14" s="10" t="inlineStr">
        <is>
          <t xml:space="preserve">2 card, tên và badge nằm cạnh logo.</t>
        </is>
      </c>
      <c r="I14" s="10"/>
      <c r="J14" s="10"/>
      <c r="K14" s="14" t="str">
        <f>HYPERLINK("https://pms.bssgroup.vn/default/viewtaskdetail/rds_shopify-634","#634, #751")</f>
        <v>#634, #751</v>
      </c>
      <c r="L14" s="10" t="inlineStr">
        <is>
          <t xml:space="preserve">CSE Guide: 
Public User Guide: 
RQM: https://docs.google.com/spreadsheets/d/1MyymN2nMzmHSvCd_xr0Mr1gGKp8x-smUq6CTEVSW5yw</t>
        </is>
      </c>
    </row>
    <row r="15" ht="96" customHeight="1">
      <c r="A15" s="23" t="inlineStr">
        <is>
          <t xml:space="preserve">findter-snf-648 → 649</t>
        </is>
      </c>
      <c r="B15" s="12">
        <v>46259</v>
      </c>
      <c r="C15" s="18" t="inlineStr">
        <is>
          <t xml:space="preserve">Improvement</t>
        </is>
      </c>
      <c r="D15" s="8" t="inlineStr">
        <is>
          <t xml:space="preserve">Trang Advanced features</t>
        </is>
      </c>
      <c r="E15" s="10" t="inlineStr">
        <is>
          <t xml:space="preserve">Advanced features, Pricing (Free / Paid)</t>
        </is>
      </c>
      <c r="F15" s="10" t="inlineStr">
        <is>
          <t xml:space="preserve">Thiết kế lại để thấy rõ tính năng nào có ở plan Free, tính năng nào cần plan trả phí (Paid).</t>
        </is>
      </c>
      <c r="G15" s="10" t="inlineStr">
        <is>
          <t xml:space="preserve">Không phân biệt tính năng Free / Paid.</t>
        </is>
      </c>
      <c r="H15" s="10" t="inlineStr">
        <is>
          <t xml:space="preserve">Thấy rõ tính năng theo từng plan.</t>
        </is>
      </c>
      <c r="I15" s="10"/>
      <c r="J15" s="10"/>
      <c r="K15" s="14" t="str">
        <f>HYPERLINK("https://pms.bssgroup.vn/default/viewtaskdetail/rds_shopify-634","#634")</f>
        <v>#634</v>
      </c>
      <c r="L15" s="10" t="inlineStr">
        <is>
          <t xml:space="preserve">CSE Guide: 
Public User Guide: https://flintverse.gitbook.io/docs/findter-custom-filter-search/user-guide/advanced-features/advanced-features-dashboard
RQM: https://docs.google.com/spreadsheets/d/1MyymN2nMzmHSvCd_xr0Mr1gGKp8x-smUq6CTEVSW5yw</t>
        </is>
      </c>
    </row>
    <row r="16" ht="51" customHeight="1">
      <c r="A16" s="23" t="inlineStr">
        <is>
          <t xml:space="preserve">findter-snf-646</t>
        </is>
      </c>
      <c r="B16" s="12">
        <v>46256</v>
      </c>
      <c r="C16" s="16" t="inlineStr">
        <is>
          <t xml:space="preserve">Bug fix</t>
        </is>
      </c>
      <c r="D16" s="8" t="inlineStr">
        <is>
          <t xml:space="preserve">Banner vượt giới hạn sản phẩm (Over-limit)</t>
        </is>
      </c>
      <c r="E16" s="10" t="inlineStr">
        <is>
          <t xml:space="preserve">Pricing / Plan limit</t>
        </is>
      </c>
      <c r="F16" s="10" t="inlineStr">
        <is>
          <t xml:space="preserve">Banner over-limit không còn hiện khi store chưa bật app embed, và tự ẩn sau khi upgrade plan.</t>
        </is>
      </c>
      <c r="G16" s="10" t="inlineStr">
        <is>
          <t xml:space="preserve">Banner hiện quá sớm và vẫn hiện sau khi upgrade.</t>
        </is>
      </c>
      <c r="H16" s="10" t="inlineStr">
        <is>
          <t xml:space="preserve">Chỉ hiện đúng lúc, tự ẩn sau khi upgrade.</t>
        </is>
      </c>
      <c r="I16" s="10"/>
      <c r="J16" s="10"/>
      <c r="K16" s="14" t="str">
        <f>HYPERLINK("https://pms.bssgroup.vn/default/viewtaskdetail/rds_shopify-655","#655")</f>
        <v>#655</v>
      </c>
      <c r="L16" s="10" t="inlineStr">
        <is>
          <t xml:space="preserve">CSE Guide: 
Public User Guide: 
RQM: </t>
        </is>
      </c>
    </row>
    <row r="17" ht="66" customHeight="1">
      <c r="A17" s="23" t="inlineStr">
        <is>
          <t xml:space="preserve">findter-snf-643 → 645</t>
        </is>
      </c>
      <c r="B17" s="12">
        <v>46254</v>
      </c>
      <c r="C17" s="16" t="inlineStr">
        <is>
          <t xml:space="preserve">Bug fix</t>
        </is>
      </c>
      <c r="D17" s="8" t="inlineStr">
        <is>
          <t xml:space="preserve">Merged Group + Search in Filter</t>
        </is>
      </c>
      <c r="E17" s="10" t="inlineStr">
        <is>
          <t xml:space="preserve">Merged Group Filter, Search in Filter</t>
        </is>
      </c>
      <c r="F17" s="10" t="inlineStr">
        <is>
          <t xml:space="preserve">Khi search trong filter có Merged Group: value khớp được đẩy lên đầu, các value khác ẩn đi, group đang thu gọn sẽ tự mở ra.</t>
        </is>
      </c>
      <c r="G17" s="10" t="inlineStr">
        <is>
          <t xml:space="preserve">Value khớp nằm lẫn ở giữa, các group khác vẫn hiện.</t>
        </is>
      </c>
      <c r="H17" s="10" t="inlineStr">
        <is>
          <t xml:space="preserve">Value khớp lên đầu, phần còn lại ẩn đi.</t>
        </is>
      </c>
      <c r="I17" s="10"/>
      <c r="J17" s="10"/>
      <c r="K17" s="14" t="str">
        <f>HYPERLINK("https://pms.bssgroup.vn/default/viewtaskdetail/rds_shopify-532","#532")</f>
        <v>#532</v>
      </c>
      <c r="L17" s="10" t="inlineStr">
        <is>
          <t xml:space="preserve">CSE Guide: 
Public User Guide: 
RQM: https://docs.google.com/spreadsheets/d/1wfKxGYMOa0VxzaIUeoBHt0vfFmUQuVLqmM76qAS-R0c</t>
        </is>
      </c>
    </row>
    <row r="18" ht="111" customHeight="1">
      <c r="A18" s="23" t="inlineStr">
        <is>
          <t xml:space="preserve">findter-snf-624 → 628</t>
        </is>
      </c>
      <c r="B18" s="12">
        <v>46247</v>
      </c>
      <c r="C18" s="13" t="inlineStr">
        <is>
          <t xml:space="preserve">New feature</t>
        </is>
      </c>
      <c r="D18" s="8" t="inlineStr">
        <is>
          <t xml:space="preserve">Product grid design (phase 2)</t>
        </is>
      </c>
      <c r="E18" s="10" t="inlineStr">
        <is>
          <t xml:space="preserve">Product grid design</t>
        </is>
      </c>
      <c r="F18" s="10" t="inlineStr">
        <is>
          <t xml:space="preserve">Thêm setting cho nút Add to cart, Sold out badge, Low stock badge ("Only X left"). Vị trí badge (trên trái / trên phải) đã hiển thị đúng ngoài storefront.</t>
        </is>
      </c>
      <c r="G18" s="10" t="inlineStr">
        <is>
          <t xml:space="preserve">Chưa chỉnh được nút Add to cart và badge hết hàng / sắp hết hàng.</t>
        </is>
      </c>
      <c r="H18" s="10" t="inlineStr">
        <is>
          <t xml:space="preserve">Có setting riêng cho nút và 2 badge mới.</t>
        </is>
      </c>
      <c r="I18" s="10"/>
      <c r="J18" s="10"/>
      <c r="K18" s="14" t="str">
        <f>HYPERLINK("https://pms.bssgroup.vn/default/viewtaskdetail/rds_shopify-609","#609")</f>
        <v>#609</v>
      </c>
      <c r="L18" s="10" t="inlineStr">
        <is>
          <t xml:space="preserve">CSE Guide: 
Public User Guide: https://flintverse.gitbook.io/docs/findter-custom-filter-search/user-guide/filter-and-product-grid-design/product-grid-customization
RQM: https://docs.google.com/spreadsheets/d/1TI6QmmYTkb4cYBNOSjonGzldbeMm8wf5Gl0yv7uzWCk</t>
        </is>
      </c>
    </row>
    <row r="19" ht="66" customHeight="1">
      <c r="A19" s="23" t="inlineStr">
        <is>
          <t xml:space="preserve">findter-snf-620 → 623</t>
        </is>
      </c>
      <c r="B19" s="12">
        <v>46246</v>
      </c>
      <c r="C19" s="13" t="inlineStr">
        <is>
          <t xml:space="preserve">New feature</t>
        </is>
      </c>
      <c r="D19" s="8" t="inlineStr">
        <is>
          <t xml:space="preserve">Partial Search (Advanced Search)</t>
        </is>
      </c>
      <c r="E19" s="10" t="inlineStr">
        <is>
          <t xml:space="preserve">Search settings</t>
        </is>
      </c>
      <c r="F19" s="10" t="inlineStr">
        <is>
          <t xml:space="preserve">Với từng field search, chọn cách khớp từ (Whole words / Word beginnings / Any part of a word) và chỉnh weight. VD: gõ "nglass" vẫn ra "Sunglasses".</t>
        </is>
      </c>
      <c r="G19" s="10" t="inlineStr">
        <is>
          <t xml:space="preserve">Phải gõ đúng từ đầy đủ hoặc đầu từ.</t>
        </is>
      </c>
      <c r="H19" s="10" t="inlineStr">
        <is>
          <t xml:space="preserve">Gõ một phần của từ vẫn ra sản phẩm.</t>
        </is>
      </c>
      <c r="I19" s="10" t="inlineStr">
        <is>
          <t xml:space="preserve">Chỉ store được unlock.</t>
        </is>
      </c>
      <c r="J19" s="10" t="inlineStr">
        <is>
          <t xml:space="preserve">Chỉ mở khi khách yêu cầu: bật Advanced Search cho store trong Master, sau đó khách tự chỉnh trong Search settings.</t>
        </is>
      </c>
      <c r="K19" s="14" t="str">
        <f>HYPERLINK("https://pms.bssgroup.vn/default/viewtaskdetail/rds_shopify-419","#419")</f>
        <v>#419</v>
      </c>
      <c r="L19" s="10" t="inlineStr">
        <is>
          <t xml:space="preserve">CSE Guide: 
Public User Guide: 
RQM: https://docs.google.com/spreadsheets/d/1sh6FjuB-nzSlTbmRKDZ7PvSyX9CwjV5nupq41JHcKUk</t>
        </is>
      </c>
    </row>
    <row r="20" ht="51" customHeight="1">
      <c r="A20" s="23" t="inlineStr">
        <is>
          <t xml:space="preserve">findter-snf-607</t>
        </is>
      </c>
      <c r="B20" s="12">
        <v>46237</v>
      </c>
      <c r="C20" s="16" t="inlineStr">
        <is>
          <t xml:space="preserve">Bug fix</t>
        </is>
      </c>
      <c r="D20" s="8" t="inlineStr">
        <is>
          <t xml:space="preserve">Filter options</t>
        </is>
      </c>
      <c r="E20" s="10" t="inlineStr">
        <is>
          <t xml:space="preserve">Filter options (Price / Checklist)</t>
        </is>
      </c>
      <c r="F20" s="10" t="inlineStr">
        <is>
          <t xml:space="preserve">Option dạng Price và Checklist không còn mất các khoảng giá (range) đã lưu sau khi bấm "Add range" + Save.</t>
        </is>
      </c>
      <c r="G20" s="10" t="inlineStr">
        <is>
          <t xml:space="preserve">Range mới thêm bị mất sau khi Save.</t>
        </is>
      </c>
      <c r="H20" s="10" t="inlineStr">
        <is>
          <t xml:space="preserve">Range được lưu đúng.</t>
        </is>
      </c>
      <c r="I20" s="10"/>
      <c r="J20" s="10"/>
      <c r="K20" s="14" t="str">
        <f>HYPERLINK("https://pms.bssgroup.vn/default/viewtaskdetail/rds_shopify-218","#218")</f>
        <v>#218</v>
      </c>
      <c r="L20" s="10" t="inlineStr">
        <is>
          <t xml:space="preserve">CSE Guide: 
Public User Guide: 
RQM: </t>
        </is>
      </c>
    </row>
    <row r="21" ht="51" customHeight="1">
      <c r="A21" s="23" t="inlineStr">
        <is>
          <t xml:space="preserve">findter-snf-601 → 605</t>
        </is>
      </c>
      <c r="B21" s="12">
        <v>46234</v>
      </c>
      <c r="C21" s="16" t="inlineStr">
        <is>
          <t xml:space="preserve">Bug fix</t>
        </is>
      </c>
      <c r="D21" s="8" t="inlineStr">
        <is>
          <t xml:space="preserve">Filter options</t>
        </is>
      </c>
      <c r="E21" s="10" t="inlineStr">
        <is>
          <t xml:space="preserve">Filter options, Merged Group Filter</t>
        </is>
      </c>
      <c r="F21" s="10" t="inlineStr">
        <is>
          <t xml:space="preserve">Bấm Cancel giờ bỏ hết thay đổi chưa lưu. Value đã xoá khỏi group có thể chọn lại.</t>
        </is>
      </c>
      <c r="G21" s="10" t="inlineStr">
        <is>
          <t xml:space="preserve">Cancel vẫn giữ bản nháp; value đã xoá không chọn lại được.</t>
        </is>
      </c>
      <c r="H21" s="10" t="inlineStr">
        <is>
          <t xml:space="preserve">Cancel bỏ thay đổi; value chọn lại được.</t>
        </is>
      </c>
      <c r="I21" s="10"/>
      <c r="J21" s="10"/>
      <c r="K21" s="14" t="str">
        <f>HYPERLINK("https://pms.bssgroup.vn/default/viewtaskdetail/rds_shopify-695","#695, #696")</f>
        <v>#695, #696</v>
      </c>
      <c r="L21" s="10" t="inlineStr">
        <is>
          <t xml:space="preserve">CSE Guide: 
Public User Guide: 
RQM: </t>
        </is>
      </c>
    </row>
    <row r="22" ht="96" customHeight="1">
      <c r="A22" s="23" t="inlineStr">
        <is>
          <t xml:space="preserve">findter-snf-594 → 597</t>
        </is>
      </c>
      <c r="B22" s="12">
        <v>46227</v>
      </c>
      <c r="C22" s="18" t="inlineStr">
        <is>
          <t xml:space="preserve">Improvement</t>
        </is>
      </c>
      <c r="D22" s="8" t="inlineStr">
        <is>
          <t xml:space="preserve">Merged Group</t>
        </is>
      </c>
      <c r="E22" s="10" t="inlineStr">
        <is>
          <t xml:space="preserve">Merged Group Filter</t>
        </is>
      </c>
      <c r="F22" s="10" t="inlineStr">
        <is>
          <t xml:space="preserve">Thêm nút Include all / Exclude all. Value được đưa vào group sẽ tự bật (ON), nên group hiển thị đúng ngoài storefront.</t>
        </is>
      </c>
      <c r="G22" s="10" t="inlineStr">
        <is>
          <t xml:space="preserve">Value đang OFF đưa vào group vẫn OFF, group không hiện.</t>
        </is>
      </c>
      <c r="H22" s="10" t="inlineStr">
        <is>
          <t xml:space="preserve">Value tự ON, có nút Include / Exclude all.</t>
        </is>
      </c>
      <c r="I22" s="10"/>
      <c r="J22" s="10"/>
      <c r="K22" s="14" t="str">
        <f>HYPERLINK("https://pms.bssgroup.vn/default/viewtaskdetail/rds_shopify-574","#574")</f>
        <v>#574</v>
      </c>
      <c r="L22" s="10" t="inlineStr">
        <is>
          <t xml:space="preserve">CSE Guide: 
Public User Guide: https://flintverse.gitbook.io/docs/findter-custom-filter-search/user-guide/advanced-features/merged-values-group
RQM: https://docs.google.com/spreadsheets/d/1wfKxGYMOa0VxzaIUeoBHt0vfFmUQuVLqmM76qAS-R0c</t>
        </is>
      </c>
    </row>
    <row r="23" ht="51" customHeight="1">
      <c r="A23" s="23" t="inlineStr">
        <is>
          <t xml:space="preserve">findter-snf-594 → 597</t>
        </is>
      </c>
      <c r="B23" s="12">
        <v>46227</v>
      </c>
      <c r="C23" s="16" t="inlineStr">
        <is>
          <t xml:space="preserve">Bug fix</t>
        </is>
      </c>
      <c r="D23" s="8" t="inlineStr">
        <is>
          <t xml:space="preserve">Year Make Model (YMM)</t>
        </is>
      </c>
      <c r="E23" s="10" t="inlineStr">
        <is>
          <t xml:space="preserve">Year Make Model (YMM)</t>
        </is>
      </c>
      <c r="F23" s="10" t="inlineStr">
        <is>
          <t xml:space="preserve">Value mới thêm vào sản phẩm giờ đã hiện trong danh sách value của option YMM.</t>
        </is>
      </c>
      <c r="G23" s="10" t="inlineStr">
        <is>
          <t xml:space="preserve">Value mới không hiện trong list.</t>
        </is>
      </c>
      <c r="H23" s="10" t="inlineStr">
        <is>
          <t xml:space="preserve">Value mới hiện sau khi sync.</t>
        </is>
      </c>
      <c r="I23" s="10"/>
      <c r="J23" s="10"/>
      <c r="K23" s="14" t="str">
        <f>HYPERLINK("https://pms.bssgroup.vn/default/viewtaskdetail/rds_shopify-640","#640")</f>
        <v>#640</v>
      </c>
      <c r="L23" s="10" t="inlineStr">
        <is>
          <t xml:space="preserve">CSE Guide: 
Public User Guide: 
RQM: </t>
        </is>
      </c>
    </row>
    <row r="24" ht="51" customHeight="1">
      <c r="A24" s="23" t="inlineStr">
        <is>
          <t xml:space="preserve">findter-snf-588 → 590</t>
        </is>
      </c>
      <c r="B24" s="12">
        <v>46225</v>
      </c>
      <c r="C24" s="18" t="inlineStr">
        <is>
          <t xml:space="preserve">Improvement</t>
        </is>
      </c>
      <c r="D24" s="8" t="inlineStr">
        <is>
          <t xml:space="preserve">Market currency</t>
        </is>
      </c>
      <c r="E24" s="10" t="inlineStr">
        <is>
          <t xml:space="preserve">Search suggestion, Markets</t>
        </is>
      </c>
      <c r="F24" s="10" t="inlineStr">
        <is>
          <t xml:space="preserve">Giá trong Search suggestion hiển thị theo đơn vị tiền của market mà khách đang xem.</t>
        </is>
      </c>
      <c r="G24" s="10" t="inlineStr">
        <is>
          <t xml:space="preserve">Giá trong suggestion luôn theo tiền mặc định của store.</t>
        </is>
      </c>
      <c r="H24" s="10" t="inlineStr">
        <is>
          <t xml:space="preserve">Đúng tiền tệ của market.</t>
        </is>
      </c>
      <c r="I24" s="10" t="inlineStr">
        <is>
          <t xml:space="preserve">Chỉ store đã bật Market currency.</t>
        </is>
      </c>
      <c r="J24" s="10" t="inlineStr">
        <is>
          <t xml:space="preserve">Chỉ áp dụng cho store đã bật Market currency.</t>
        </is>
      </c>
      <c r="K24" s="14" t="inlineStr">
        <is>
          <t xml:space="preserve">-</t>
        </is>
      </c>
      <c r="L24" s="10" t="inlineStr">
        <is>
          <t xml:space="preserve">CSE Guide: 
Public User Guide: 
RQM: </t>
        </is>
      </c>
    </row>
    <row r="25" ht="66" customHeight="1">
      <c r="A25" s="23" t="inlineStr">
        <is>
          <t xml:space="preserve">findter-snf-574 → 583</t>
        </is>
      </c>
      <c r="B25" s="12">
        <v>46223</v>
      </c>
      <c r="C25" s="13" t="inlineStr">
        <is>
          <t xml:space="preserve">New feature</t>
        </is>
      </c>
      <c r="D25" s="8" t="inlineStr">
        <is>
          <t xml:space="preserve">Plan hiện tại trên Homepage</t>
        </is>
      </c>
      <c r="E25" s="10" t="inlineStr">
        <is>
          <t xml:space="preserve">Homepage (App status), Pricing</t>
        </is>
      </c>
      <c r="F25" s="10" t="inlineStr">
        <is>
          <t xml:space="preserve">Ô App status hiển thị plan hiện tại (tên plan, Trial hoặc Free). Store cũ được thấy banner thông báo thay đổi plan (banner giảm giá đã kết thúc ngày 10/08).</t>
        </is>
      </c>
      <c r="G25" s="10" t="inlineStr">
        <is>
          <t xml:space="preserve">Merchant không thấy mình đang ở plan nào.</t>
        </is>
      </c>
      <c r="H25" s="10" t="inlineStr">
        <is>
          <t xml:space="preserve">Thấy plan ngay trên Homepage.</t>
        </is>
      </c>
      <c r="I25" s="10"/>
      <c r="J25" s="10"/>
      <c r="K25" s="14" t="str">
        <f>HYPERLINK("https://pms.bssgroup.vn/default/viewtaskdetail/rds_shopify-584","#584")</f>
        <v>#584</v>
      </c>
      <c r="L25" s="10" t="inlineStr">
        <is>
          <t xml:space="preserve">CSE Guide: 
Public User Guide: 
RQM: https://docs.google.com/spreadsheets/d/1OTUEpIhWBMv_8zzKb0FV1HSX2OSBfbY0Rx98zNL_piE</t>
        </is>
      </c>
    </row>
    <row r="26" ht="51" customHeight="1">
      <c r="A26" s="23" t="inlineStr">
        <is>
          <t xml:space="preserve">findter-snf-546 → 549</t>
        </is>
      </c>
      <c r="B26" s="12">
        <v>46204</v>
      </c>
      <c r="C26" s="16" t="inlineStr">
        <is>
          <t xml:space="preserve">Bug fix</t>
        </is>
      </c>
      <c r="D26" s="8" t="inlineStr">
        <is>
          <t xml:space="preserve">Year Make Model (YMM)</t>
        </is>
      </c>
      <c r="E26" s="10" t="inlineStr">
        <is>
          <t xml:space="preserve">Year Make Model (YMM)</t>
        </is>
      </c>
      <c r="F26" s="10" t="inlineStr">
        <is>
          <t xml:space="preserve">Block YMM không còn hiện để thêm vào trang collection trong theme editor.</t>
        </is>
      </c>
      <c r="G26" s="10" t="inlineStr">
        <is>
          <t xml:space="preserve">Merchant thêm nhầm block YMM vào trang collection.</t>
        </is>
      </c>
      <c r="H26" s="10" t="inlineStr">
        <is>
          <t xml:space="preserve">Block YMM chỉ có ở trang phù hợp.</t>
        </is>
      </c>
      <c r="I26" s="10"/>
      <c r="J26" s="10"/>
      <c r="K26" s="14" t="str">
        <f>HYPERLINK("https://pms.bssgroup.vn/default/viewtaskdetail/rds_shopify-631","#631")</f>
        <v>#631</v>
      </c>
      <c r="L26" s="10" t="inlineStr">
        <is>
          <t xml:space="preserve">CSE Guide: 
Public User Guide: 
RQM: </t>
        </is>
      </c>
    </row>
    <row r="27" ht="111" customHeight="1">
      <c r="A27" s="23" t="inlineStr">
        <is>
          <t xml:space="preserve">findter-snf-529 → 535</t>
        </is>
      </c>
      <c r="B27" s="12">
        <v>46199</v>
      </c>
      <c r="C27" s="13" t="inlineStr">
        <is>
          <t xml:space="preserve">New feature</t>
        </is>
      </c>
      <c r="D27" s="8" t="inlineStr">
        <is>
          <t xml:space="preserve">Product grid design (phase 1)</t>
        </is>
      </c>
      <c r="E27" s="10" t="inlineStr">
        <is>
          <t xml:space="preserve">Custom design</t>
        </is>
      </c>
      <c r="F27" s="10" t="inlineStr">
        <is>
          <t xml:space="preserve">Tab Custom design mới cho product grid: số sản phẩm mỗi trang, số sản phẩm mỗi hàng, pagination, thứ tự hiển thị (element order), ảnh, tên, vendor, giá, Sale badge, có Live preview.</t>
        </is>
      </c>
      <c r="G27" s="10" t="inlineStr">
        <is>
          <t xml:space="preserve">Muốn đổi product card phải nhờ dev custom.</t>
        </is>
      </c>
      <c r="H27" s="10" t="inlineStr">
        <is>
          <t xml:space="preserve">Merchant tự chỉnh trong app, xem Live preview.</t>
        </is>
      </c>
      <c r="I27" s="10" t="inlineStr">
        <is>
          <t xml:space="preserve">Áp dụng cho mọi store.</t>
        </is>
      </c>
      <c r="J27" s="10"/>
      <c r="K27" s="14" t="str">
        <f>HYPERLINK("https://pms.bssgroup.vn/default/viewtaskdetail/rds_shopify-431","#431")</f>
        <v>#431</v>
      </c>
      <c r="L27" s="10" t="inlineStr">
        <is>
          <t xml:space="preserve">CSE Guide: 
Public User Guide: https://flintverse.gitbook.io/docs/findter-custom-filter-search/user-guide/filter-and-product-grid-design/product-grid-customization
RQM: https://docs.google.com/spreadsheets/d/1TI6QmmYTkb4cYBNOSjonGzldbeMm8wf5Gl0yv7uzWCk</t>
        </is>
      </c>
    </row>
    <row r="28" ht="96" customHeight="1">
      <c r="A28" s="23" t="inlineStr">
        <is>
          <t xml:space="preserve">findter-snf-529 → 535</t>
        </is>
      </c>
      <c r="B28" s="12">
        <v>46199</v>
      </c>
      <c r="C28" s="13" t="inlineStr">
        <is>
          <t xml:space="preserve">New feature</t>
        </is>
      </c>
      <c r="D28" s="8" t="inlineStr">
        <is>
          <t xml:space="preserve">Filter design (phase 1)</t>
        </is>
      </c>
      <c r="E28" s="10" t="inlineStr">
        <is>
          <t xml:space="preserve">Custom design</t>
        </is>
      </c>
      <c r="F28" s="10" t="inlineStr">
        <is>
          <t xml:space="preserve">Chọn layout filter (vertical / horizontal / off-canvas) và chỉnh Filter bar, có Live preview.</t>
        </is>
      </c>
      <c r="G28" s="10" t="inlineStr">
        <is>
          <t xml:space="preserve">Muốn đổi giao diện filter phải nhờ dev custom.</t>
        </is>
      </c>
      <c r="H28" s="10" t="inlineStr">
        <is>
          <t xml:space="preserve">Merchant tự chọn layout và chỉnh Filter bar.</t>
        </is>
      </c>
      <c r="I28" s="10" t="inlineStr">
        <is>
          <t xml:space="preserve">Áp dụng cho mọi store.</t>
        </is>
      </c>
      <c r="J28" s="10"/>
      <c r="K28" s="14" t="str">
        <f>HYPERLINK("https://pms.bssgroup.vn/default/viewtaskdetail/rds_shopify-572","#572")</f>
        <v>#572</v>
      </c>
      <c r="L28" s="10" t="inlineStr">
        <is>
          <t xml:space="preserve">CSE Guide: 
Public User Guide: https://flintverse.gitbook.io/docs/findter-custom-filter-search/user-guide/filter-and-product-grid-design/set-filter-layouts
RQM: https://docs.google.com/spreadsheets/d/1TI6QmmYTkb4cYBNOSjonGzldbeMm8wf5Gl0yv7uzWCk</t>
        </is>
      </c>
    </row>
    <row r="29" ht="111" customHeight="1">
      <c r="A29" s="23" t="inlineStr">
        <is>
          <t xml:space="preserve">findter-snf-529 → 535</t>
        </is>
      </c>
      <c r="B29" s="12">
        <v>46199</v>
      </c>
      <c r="C29" s="18" t="inlineStr">
        <is>
          <t xml:space="preserve">Improvement</t>
        </is>
      </c>
      <c r="D29" s="8" t="inlineStr">
        <is>
          <t xml:space="preserve">Onboarding trên Homepage</t>
        </is>
      </c>
      <c r="E29" s="10" t="inlineStr">
        <is>
          <t xml:space="preserve">Homepage, BFS</t>
        </is>
      </c>
      <c r="F29" s="10" t="inlineStr">
        <is>
          <t xml:space="preserve">Thêm bước bật Search suggestion. Hiển thị App embed và Search suggestion đang Active hay chưa. Onboarding tự thu gọn khi đã xong 2 bước chính.</t>
        </is>
      </c>
      <c r="G29" s="10" t="inlineStr">
        <is>
          <t xml:space="preserve">Không biết App embed / Search suggestion đã bật chưa.</t>
        </is>
      </c>
      <c r="H29" s="10" t="inlineStr">
        <is>
          <t xml:space="preserve">Thấy trạng thái Active ngay trên Homepage.</t>
        </is>
      </c>
      <c r="I29" s="10"/>
      <c r="J29" s="10"/>
      <c r="K29" s="14" t="str">
        <f>HYPERLINK("https://pms.bssgroup.vn/default/viewtaskdetail/rds_shopify-525","#525")</f>
        <v>#525</v>
      </c>
      <c r="L29" s="10" t="inlineStr">
        <is>
          <t xml:space="preserve">CSE Guide: 
Public User Guide: https://flintverse.gitbook.io/docs/findter-custom-filter-search/user-guide/findter-custom-filter-and-search/apps-admin-and-homepage
RQM: https://docs.google.com/spreadsheets/d/1c4gOulGNvWRSjxo8qgZigKQ0h31nrUfHzGAPhzVZEEg</t>
        </is>
      </c>
    </row>
    <row r="30" ht="96" customHeight="1">
      <c r="A30" s="23" t="inlineStr">
        <is>
          <t xml:space="preserve">findter-snf-516 → 520</t>
        </is>
      </c>
      <c r="B30" s="12">
        <v>46190</v>
      </c>
      <c r="C30" s="13" t="inlineStr">
        <is>
          <t xml:space="preserve">New feature</t>
        </is>
      </c>
      <c r="D30" s="8" t="inlineStr">
        <is>
          <t xml:space="preserve">Year Make Model (YMM)</t>
        </is>
      </c>
      <c r="E30" s="10"/>
      <c r="F30" s="10" t="inlineStr">
        <is>
          <t xml:space="preserve">Khách chọn Year &gt; Make &gt; Model ở homepage để chỉ xem các sản phẩm phù hợp.</t>
        </is>
      </c>
      <c r="G30" s="10" t="inlineStr">
        <is>
          <t xml:space="preserve">Không có cách lọc theo xe (năm / hãng / dòng).</t>
        </is>
      </c>
      <c r="H30" s="10" t="inlineStr">
        <is>
          <t xml:space="preserve">Chọn Year &gt; Make &gt; Model ra đúng sản phẩm.</t>
        </is>
      </c>
      <c r="I30" s="10" t="inlineStr">
        <is>
          <t xml:space="preserve">Chỉ store được unlock.</t>
        </is>
      </c>
      <c r="J30" s="10" t="inlineStr">
        <is>
          <t xml:space="preserve">Unlock YMM cho store trong Master, sau đó menu YMM mới hiện trong app.</t>
        </is>
      </c>
      <c r="K30" s="14" t="str">
        <f>HYPERLINK("https://pms.bssgroup.vn/default/viewtaskdetail/rds_shopify-483","#483, #339")</f>
        <v>#483, #339</v>
      </c>
      <c r="L30" s="10" t="inlineStr">
        <is>
          <t xml:space="preserve">CSE Guide: 
Public User Guide: https://flintverse.gitbook.io/docs/findter-custom-filter-search/user-guide/advanced-features/year-make-model-ymm
RQM: https://docs.google.com/spreadsheets/d/10BOZcrueIFowFGHB-3uM9RNWL-N9ANIvrtGHlq6vmpU</t>
        </is>
      </c>
    </row>
    <row r="31" ht="96" customHeight="1">
      <c r="A31" s="23" t="inlineStr">
        <is>
          <t xml:space="preserve">findter-snf-505 → 506</t>
        </is>
      </c>
      <c r="B31" s="12">
        <v>46176</v>
      </c>
      <c r="C31" s="13" t="inlineStr">
        <is>
          <t xml:space="preserve">New feature</t>
        </is>
      </c>
      <c r="D31" s="8" t="inlineStr">
        <is>
          <t xml:space="preserve">Merged Group Filter</t>
        </is>
      </c>
      <c r="E31" s="10"/>
      <c r="F31" s="10" t="inlineStr">
        <is>
          <t xml:space="preserve">Gộp nhiều value thành một nhóm (VD: Navy + Sky = Blue).</t>
        </is>
      </c>
      <c r="G31" s="10" t="inlineStr">
        <is>
          <t xml:space="preserve">Mỗi value là một lựa chọn riêng.</t>
        </is>
      </c>
      <c r="H31" s="10" t="inlineStr">
        <is>
          <t xml:space="preserve">Gộp nhiều value thành một nhóm dễ chọn.</t>
        </is>
      </c>
      <c r="I31" s="10"/>
      <c r="J31" s="10"/>
      <c r="K31" s="14" t="str">
        <f>HYPERLINK("https://pms.bssgroup.vn/default/viewtaskdetail/rds_shopify-253","#253")</f>
        <v>#253</v>
      </c>
      <c r="L31" s="10" t="inlineStr">
        <is>
          <t xml:space="preserve">CSE Guide: 
Public User Guide: https://flintverse.gitbook.io/docs/findter-custom-filter-search/user-guide/advanced-features/merged-values-group
RQM: https://docs.google.com/spreadsheets/d/1wfKxGYMOa0VxzaIUeoBHt0vfFmUQuVLqmM76qAS-R0c</t>
        </is>
      </c>
    </row>
    <row r="32" ht="51" customHeight="1">
      <c r="A32" s="23"/>
      <c r="B32" s="12"/>
      <c r="C32" s="13" t="inlineStr">
        <is>
          <t xml:space="preserve">New feature</t>
        </is>
      </c>
      <c r="D32" s="8" t="inlineStr">
        <is>
          <t xml:space="preserve">Search in Filter</t>
        </is>
      </c>
      <c r="E32" s="10"/>
      <c r="F32" s="10" t="inlineStr">
        <is>
          <t xml:space="preserve">Khách search được value ngay bên trong một filter option.</t>
        </is>
      </c>
      <c r="G32" s="10" t="inlineStr">
        <is>
          <t xml:space="preserve">Option nhiều value phải cuộn tìm.</t>
        </is>
      </c>
      <c r="H32" s="10" t="inlineStr">
        <is>
          <t xml:space="preserve">Gõ để tìm value trong option.</t>
        </is>
      </c>
      <c r="I32" s="10"/>
      <c r="J32" s="10"/>
      <c r="K32" s="14" t="inlineStr">
        <is>
          <t xml:space="preserve">-</t>
        </is>
      </c>
      <c r="L32" s="10" t="inlineStr">
        <is>
          <t xml:space="preserve">CSE Guide: 
Public User Guide: 
RQM: </t>
        </is>
      </c>
    </row>
    <row r="33" ht="51" customHeight="1">
      <c r="A33" s="23"/>
      <c r="B33" s="12"/>
      <c r="C33" s="13" t="inlineStr">
        <is>
          <t xml:space="preserve">New feature</t>
        </is>
      </c>
      <c r="D33" s="8" t="inlineStr">
        <is>
          <t xml:space="preserve">Collection Search</t>
        </is>
      </c>
      <c r="E33" s="10"/>
      <c r="F33" s="10" t="inlineStr">
        <is>
          <t xml:space="preserve">Khách search được trong chính collection đang xem.</t>
        </is>
      </c>
      <c r="G33" s="10" t="inlineStr">
        <is>
          <t xml:space="preserve">Search luôn ra kết quả toàn store.</t>
        </is>
      </c>
      <c r="H33" s="10" t="inlineStr">
        <is>
          <t xml:space="preserve">Search trong collection đang xem.</t>
        </is>
      </c>
      <c r="I33" s="10" t="inlineStr">
        <is>
          <t xml:space="preserve">Chỉ store được unlock.</t>
        </is>
      </c>
      <c r="J33" s="10"/>
      <c r="K33" s="14" t="str">
        <f>HYPERLINK("https://pms.bssgroup.vn/default/viewtaskdetail/rds_shopify-397","#397")</f>
        <v>#397</v>
      </c>
      <c r="L33" s="10" t="inlineStr">
        <is>
          <t xml:space="preserve">CSE Guide: 
Public User Guide: 
RQM: </t>
        </is>
      </c>
    </row>
  </sheetData>
  <autoFilter ref="$A$3:$L$33"/>
  <mergeCells count="6">
    <mergeCell ref="A1:F1"/>
    <mergeCell ref="A2:F2"/>
    <mergeCell ref="A4:A5"/>
    <mergeCell ref="A9:A10"/>
    <mergeCell ref="A22:A23"/>
    <mergeCell ref="A27:A29"/>
  </mergeCells>
  <printOptions/>
  <pageMargins bottom="0.5" footer="0.0" header="0.0" left="0.4" right="0.4" top="0.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8.0"/>
    <col customWidth="1" min="2" max="2" width="63.0"/>
    <col customWidth="1" min="3" max="3" width="22.75"/>
    <col customWidth="1" min="4" max="4" width="12.25"/>
    <col customWidth="1" min="5" max="26" width="7.63"/>
  </cols>
  <sheetData>
    <row r="1" ht="27.75" customHeight="1">
      <c r="A1" s="2" t="s">
        <v>1</v>
      </c>
    </row>
    <row r="2" ht="18.0" customHeight="1">
      <c r="A2" s="3" t="s">
        <v>2</v>
      </c>
    </row>
    <row r="3" ht="24.0" customHeight="1">
      <c r="A3" s="6" t="s">
        <v>3</v>
      </c>
      <c r="B3" s="6" t="s">
        <v>5</v>
      </c>
      <c r="C3" s="6" t="s">
        <v>6</v>
      </c>
      <c r="D3" s="6" t="s">
        <v>7</v>
      </c>
    </row>
    <row r="4" ht="36" customHeight="1">
      <c r="A4" s="8" t="inlineStr">
        <is>
          <t xml:space="preserve">Sort By options</t>
        </is>
      </c>
      <c r="B4" s="10" t="inlineStr">
        <is>
          <t xml:space="preserve">Chọn các kiểu sort khách được thấy, đổi tên, và đặt sort mặc định (default sort) cho trang collection và trang search.</t>
        </is>
      </c>
      <c r="C4" s="11" t="inlineStr">
        <is>
          <t xml:space="preserve">BA review (sửa nốt lỗi cuối)</t>
        </is>
      </c>
      <c r="D4" s="14" t="str">
        <f>HYPERLINK("https://pms.bssgroup.vn/default/viewtaskdetail/rds_shopify-535","#535")</f>
        <v>#535</v>
      </c>
    </row>
    <row r="5" ht="36" customHeight="1">
      <c r="A5" s="8" t="inlineStr">
        <is>
          <t xml:space="preserve">Auto translation</t>
        </is>
      </c>
      <c r="B5" s="10" t="inlineStr">
        <is>
          <t xml:space="preserve">Dịch filter option, value và tên sản phẩm; chạy được cùng Translate &amp; Adapt.</t>
        </is>
      </c>
      <c r="C5" s="11" t="inlineStr">
        <is>
          <t xml:space="preserve">Đang test</t>
        </is>
      </c>
      <c r="D5" s="14" t="str">
        <f>HYPERLINK("https://pms.bssgroup.vn/default/viewtaskdetail/rds_shopify-367","#367")</f>
        <v>#367</v>
      </c>
    </row>
    <row r="6" ht="36" customHeight="1">
      <c r="A6" s="8" t="inlineStr">
        <is>
          <t xml:space="preserve">Filter design (phase 2)</t>
        </is>
      </c>
      <c r="B6" s="10" t="inlineStr">
        <is>
          <t xml:space="preserve">Chỉnh style cho toolbar, filter option label, filter value và filter button.</t>
        </is>
      </c>
      <c r="C6" s="11" t="inlineStr">
        <is>
          <t xml:space="preserve">Review code</t>
        </is>
      </c>
      <c r="D6" s="14" t="str">
        <f>HYPERLINK("https://pms.bssgroup.vn/default/viewtaskdetail/rds_shopify-608","#608")</f>
        <v>#608</v>
      </c>
    </row>
    <row r="7" ht="36" customHeight="1">
      <c r="A7" s="8" t="inlineStr">
        <is>
          <t xml:space="preserve">Metafield (chỉnh weight) trong Search settings</t>
        </is>
      </c>
      <c r="B7" s="10" t="inlineStr">
        <is>
          <t xml:space="preserve">Thêm dòng Metafield trong Search settings, có search type và weight riêng.</t>
        </is>
      </c>
      <c r="C7" s="11" t="inlineStr">
        <is>
          <t xml:space="preserve">Sẽ tạo task mới</t>
        </is>
      </c>
      <c r="D7" s="14" t="str">
        <f>HYPERLINK("https://pms.bssgroup.vn/default/viewtaskdetail/rds_shopify-682","#682")</f>
        <v>#682</v>
      </c>
    </row>
    <row r="8" ht="36" customHeight="1">
      <c r="A8" s="8" t="inlineStr">
        <is>
          <t xml:space="preserve">Merchandising (Boost / Demote / Hide)</t>
        </is>
      </c>
      <c r="B8" s="10" t="inlineStr">
        <is>
          <t xml:space="preserve">Một chỗ để đẩy lên, đẩy xuống hoặc ẩn sản phẩm ở trang collection và trang search, có hẹn giờ (schedule) và chọn market.</t>
        </is>
      </c>
      <c r="C8" s="11" t="inlineStr">
        <is>
          <t xml:space="preserve">Đang phát triển</t>
        </is>
      </c>
      <c r="D8" s="14" t="str">
        <f>HYPERLINK("https://pms.bssgroup.vn/default/viewtaskdetail/rds_shopify-707","#707")</f>
        <v>#707</v>
      </c>
    </row>
    <row r="9" ht="36" customHeight="1">
      <c r="A9" s="8" t="inlineStr">
        <is>
          <t xml:space="preserve">Kiểm tra theme tương thích (Theme compatibility)</t>
        </is>
      </c>
      <c r="B9" s="10" t="inlineStr">
        <is>
          <t xml:space="preserve">Onboarding cho biết theme của store có tương thích không; bấm "Get support" để gửi yêu cầu cho CSE qua Crisp.</t>
        </is>
      </c>
      <c r="C9" s="11" t="inlineStr">
        <is>
          <t xml:space="preserve">Review code</t>
        </is>
      </c>
      <c r="D9" s="14" t="str">
        <f>HYPERLINK("https://pms.bssgroup.vn/default/viewtaskdetail/rds_shopify-742","#742")</f>
        <v>#742</v>
      </c>
    </row>
    <row r="10" ht="36" customHeight="1">
      <c r="A10" s="8" t="inlineStr">
        <is>
          <t xml:space="preserve">Welcome modal</t>
        </is>
      </c>
      <c r="B10" s="10" t="inlineStr">
        <is>
          <t xml:space="preserve">Màn chào mừng sau khi cài app: 14 ngày dùng thử (free trial) và các tính năng chính.</t>
        </is>
      </c>
      <c r="C10" s="11" t="inlineStr">
        <is>
          <t xml:space="preserve">BA đang check lại requirement</t>
        </is>
      </c>
      <c r="D10" s="14" t="str">
        <f>HYPERLINK("https://pms.bssgroup.vn/default/viewtaskdetail/rds_shopify-740","#740, #846")</f>
        <v>#740, #846</v>
      </c>
    </row>
    <row r="11" ht="36" customHeight="1">
      <c r="A11" s="8" t="inlineStr">
        <is>
          <t xml:space="preserve">Highlight features</t>
        </is>
      </c>
      <c r="B11" s="10" t="inlineStr">
        <is>
          <t xml:space="preserve">Khu vực giới thiệu tính năng nổi bật ở Homepage và trong lúc index lần đầu.</t>
        </is>
      </c>
      <c r="C11" s="11" t="inlineStr">
        <is>
          <t xml:space="preserve">Đã giao dev</t>
        </is>
      </c>
      <c r="D11" s="14" t="str">
        <f>HYPERLINK("https://pms.bssgroup.vn/default/viewtaskdetail/rds_shopify-743","#743")</f>
        <v>#743</v>
      </c>
    </row>
    <row r="12" ht="36" customHeight="1">
      <c r="A12" s="8" t="inlineStr">
        <is>
          <t xml:space="preserve">Banner sắp hết trial</t>
        </is>
      </c>
      <c r="B12" s="10" t="inlineStr">
        <is>
          <t xml:space="preserve">Banner + tin nhắn Crisp trước khi hết trial 7, 3 và 1 ngày.</t>
        </is>
      </c>
      <c r="C12" s="11" t="inlineStr">
        <is>
          <t xml:space="preserve">BA review</t>
        </is>
      </c>
      <c r="D12" s="14" t="str">
        <f>HYPERLINK("https://pms.bssgroup.vn/default/viewtaskdetail/rds_shopify-741","#741")</f>
        <v>#741</v>
      </c>
    </row>
    <row r="13" ht="36" customHeight="1">
      <c r="A13" s="8" t="inlineStr">
        <is>
          <t xml:space="preserve">Banner xin review / feedback</t>
        </is>
      </c>
      <c r="B13" s="10" t="inlineStr">
        <is>
          <t xml:space="preserve">Xin review từ khách hài lòng, chuyển phàn nàn về cho CSE xử lý.</t>
        </is>
      </c>
      <c r="C13" s="11" t="inlineStr">
        <is>
          <t xml:space="preserve">BA review</t>
        </is>
      </c>
      <c r="D13" s="14" t="str">
        <f>HYPERLINK("https://pms.bssgroup.vn/default/viewtaskdetail/rds_shopify-418","#418")</f>
        <v>#418</v>
      </c>
    </row>
    <row r="14" ht="36" customHeight="1">
      <c r="A14" s="8" t="inlineStr">
        <is>
          <t xml:space="preserve">True/False + Variant metafield</t>
        </is>
      </c>
      <c r="B14" s="10" t="inlineStr">
        <is>
          <t xml:space="preserve">Hỗ trợ metafield kiểu True/False và metafield của variant.</t>
        </is>
      </c>
      <c r="C14" s="11" t="inlineStr">
        <is>
          <t xml:space="preserve">Đang phát triển</t>
        </is>
      </c>
      <c r="D14" s="14" t="str">
        <f>HYPERLINK("https://pms.bssgroup.vn/default/viewtaskdetail/rds_shopify-715","#715")</f>
        <v>#715</v>
      </c>
    </row>
    <row r="15" ht="36" customHeight="1">
      <c r="A15" s="8" t="inlineStr">
        <is>
          <t xml:space="preserve">Color swatch trên product card</t>
        </is>
      </c>
      <c r="B15" s="10" t="inlineStr">
        <is>
          <t xml:space="preserve">Hiển thị màu của các variant ngay trên product card.</t>
        </is>
      </c>
      <c r="C15" s="11" t="inlineStr">
        <is>
          <t xml:space="preserve">Pending</t>
        </is>
      </c>
      <c r="D15" s="14" t="str">
        <f>HYPERLINK("https://pms.bssgroup.vn/default/viewtaskdetail/rds_shopify-368","#368")</f>
        <v>#368</v>
      </c>
    </row>
  </sheetData>
  <autoFilter ref="$A$3:$D$15"/>
  <printOptions/>
  <pageMargins bottom="0.5" footer="0.0" header="0.0" left="0.4" right="0.4" top="0.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2026-10-02T06:59:56Z</dcterms:created>
  <dc:creator>openpyxl</dc:creator>
</cp:coreProperties>
</file>